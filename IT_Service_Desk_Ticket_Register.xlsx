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t Register" sheetId="1" state="visible" r:id="rId3"/>
    <sheet name="Priority Matrix" sheetId="2" state="visible" r:id="rId4"/>
    <sheet name="Summary" sheetId="3" state="visible" r:id="rId5"/>
  </sheets>
  <definedNames>
    <definedName function="false" hidden="true" localSheetId="0" name="_xlnm._FilterDatabase" vbProcedure="false">'Ticket Register'!$A$4:$J$24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<sst xmlns="http://schemas.openxmlformats.org/spreadsheetml/2006/main" count="153" uniqueCount="93">
  <si>
    <t xml:space="preserve">IT Service Desk Ticket Register (SAMPLE / LAB DATA)</t>
  </si>
  <si>
    <t xml:space="preserve">Legend: yellow cells are inputs (edit them). Priority is calculated from Impact and Urgency using the 'Priority Matrix' sheet. All tickets below are illustrative lab examples, not real incidents. Replace dates and notes with your own lab results.</t>
  </si>
  <si>
    <t xml:space="preserve">Ticket ID</t>
  </si>
  <si>
    <t xml:space="preserve">Date reported</t>
  </si>
  <si>
    <t xml:space="preserve">Issue description</t>
  </si>
  <si>
    <t xml:space="preserve">Category</t>
  </si>
  <si>
    <t xml:space="preserve">Impact</t>
  </si>
  <si>
    <t xml:space="preserve">Urgency</t>
  </si>
  <si>
    <t xml:space="preserve">Priority</t>
  </si>
  <si>
    <t xml:space="preserve">Troubleshooting steps</t>
  </si>
  <si>
    <t xml:space="preserve">Status</t>
  </si>
  <si>
    <t xml:space="preserve">Resolution or escalation notes</t>
  </si>
  <si>
    <t xml:space="preserve">INC001</t>
  </si>
  <si>
    <t xml:space="preserve">2026-10-12</t>
  </si>
  <si>
    <t xml:space="preserve">Laptop very slow; applications freeze</t>
  </si>
  <si>
    <t xml:space="preserve">Windows</t>
  </si>
  <si>
    <t xml:space="preserve">Low</t>
  </si>
  <si>
    <t xml:space="preserve">Medium</t>
  </si>
  <si>
    <t xml:space="preserve">1) Opened Task Manager. 2) Memory at 92% from browser with many tabs. 3) User saved work, browser restarted. 4) Checked for pending updates. 5) Re-tested.</t>
  </si>
  <si>
    <t xml:space="preserve">Resolved</t>
  </si>
  <si>
    <t xml:space="preserve">Performance normal after browser restart. Advised user to close unused tabs.</t>
  </si>
  <si>
    <t xml:space="preserve">INC002</t>
  </si>
  <si>
    <t xml:space="preserve">One laptop cannot connect to Wi-Fi</t>
  </si>
  <si>
    <t xml:space="preserve">Network</t>
  </si>
  <si>
    <t xml:space="preserve">High</t>
  </si>
  <si>
    <t xml:space="preserve">1) Confirmed Wi-Fi enabled, airplane mode off. 2) ipconfig showed 169.254.x.x address. 3) Reconnected to network, re-checked ipconfig.</t>
  </si>
  <si>
    <t xml:space="preserve">Investigating</t>
  </si>
  <si>
    <t xml:space="preserve">Awaiting DHCP check; monitoring after reconnect.</t>
  </si>
  <si>
    <t xml:space="preserve">INC003</t>
  </si>
  <si>
    <t xml:space="preserve">2026-10-13</t>
  </si>
  <si>
    <t xml:space="preserve">Multiple employees cannot access a critical business application</t>
  </si>
  <si>
    <t xml:space="preserve">Application</t>
  </si>
  <si>
    <t xml:space="preserve">1) Confirmed 6 users affected. 2) Verified users' network connectivity OK. 3) Application unreachable from multiple devices.</t>
  </si>
  <si>
    <t xml:space="preserve">Escalated</t>
  </si>
  <si>
    <t xml:space="preserve">Escalated to application support team with scope, error text and affected-user list per incident procedure.</t>
  </si>
  <si>
    <t xml:space="preserve">INC004</t>
  </si>
  <si>
    <t xml:space="preserve">Outlook will not open; error on launch</t>
  </si>
  <si>
    <t xml:space="preserve">1) Recorded exact error message. 2) Confirmed network OK. 3) Closed app via Task Manager and reopened. 4) Checked for known service issues.</t>
  </si>
  <si>
    <t xml:space="preserve">Application opened normally after full close and reopen.</t>
  </si>
  <si>
    <t xml:space="preserve">INC005</t>
  </si>
  <si>
    <t xml:space="preserve">2026-10-14</t>
  </si>
  <si>
    <t xml:space="preserve">Teams stuck on loading screen</t>
  </si>
  <si>
    <t xml:space="preserve">1) Verified internet connectivity. 2) Restarted Teams. 3) Tested other apps: all fine (app-specific issue).</t>
  </si>
  <si>
    <t xml:space="preserve">Restart resolved issue; user confirmed.</t>
  </si>
  <si>
    <t xml:space="preserve">INC006</t>
  </si>
  <si>
    <t xml:space="preserve">User cannot sign in; account locked</t>
  </si>
  <si>
    <t xml:space="preserve">Account Access</t>
  </si>
  <si>
    <t xml:space="preserve">1) Confirmed exact error and affected service. 2) Identified issue as account, not device. 3) Explained authorized reset procedure. (Simulated)</t>
  </si>
  <si>
    <t xml:space="preserve">Routed to identity/access team per procedure after identity verification. (Lab simulation)</t>
  </si>
  <si>
    <t xml:space="preserve">INC007</t>
  </si>
  <si>
    <t xml:space="preserve">2026-10-15</t>
  </si>
  <si>
    <t xml:space="preserve">Websites not loading; internal apps work</t>
  </si>
  <si>
    <t xml:space="preserve">1) ipconfig OK. 2) ping gateway OK. 3) ping 8.8.8.8 OK. 4) nslookup example.com failed, indicating DNS resolution issue.</t>
  </si>
  <si>
    <t xml:space="preserve">Escalated to network team with ipconfig, ping and nslookup outputs attached.</t>
  </si>
  <si>
    <t xml:space="preserve">INC008</t>
  </si>
  <si>
    <t xml:space="preserve">Printer not listed on user's laptop</t>
  </si>
  <si>
    <t xml:space="preserve">Hardware / Peripheral</t>
  </si>
  <si>
    <t xml:space="preserve">1) Confirmed user is on corporate network. 2) Checked printer list. 3) Documented steps for adding printer per procedure.</t>
  </si>
  <si>
    <t xml:space="preserve">Printer re-added by user following guidance.</t>
  </si>
  <si>
    <t xml:space="preserve">INC009</t>
  </si>
  <si>
    <t xml:space="preserve">2026-10-16</t>
  </si>
  <si>
    <t xml:space="preserve">Whole department reports VPN not connecting</t>
  </si>
  <si>
    <t xml:space="preserve">1) Confirmed 12 users affected. 2) Verified local connectivity on sample devices. 3) Collected error screenshots.</t>
  </si>
  <si>
    <t xml:space="preserve">Escalated immediately as major incident per escalation procedure; user updates sent.</t>
  </si>
  <si>
    <t xml:space="preserve">INC010</t>
  </si>
  <si>
    <t xml:space="preserve">Laptop restarts unexpectedly after updates</t>
  </si>
  <si>
    <t xml:space="preserve">1) Collected symptoms and timing. 2) Checked for pending updates. 3) Advised user to save work and restart. 4) Monitoring.</t>
  </si>
  <si>
    <t xml:space="preserve">Awaiting confirmation whether restarts continue; will escalate to desktop support if recurring.</t>
  </si>
  <si>
    <t xml:space="preserve">INC011</t>
  </si>
  <si>
    <t xml:space="preserve">INC012</t>
  </si>
  <si>
    <t xml:space="preserve">INC013</t>
  </si>
  <si>
    <t xml:space="preserve">INC014</t>
  </si>
  <si>
    <t xml:space="preserve">INC015</t>
  </si>
  <si>
    <t xml:space="preserve">INC016</t>
  </si>
  <si>
    <t xml:space="preserve">INC017</t>
  </si>
  <si>
    <t xml:space="preserve">INC018</t>
  </si>
  <si>
    <t xml:space="preserve">INC019</t>
  </si>
  <si>
    <t xml:space="preserve">INC020</t>
  </si>
  <si>
    <t xml:space="preserve">Impact / Urgency Priority Matrix</t>
  </si>
  <si>
    <t xml:space="preserve">Rows = Impact, Columns = Urgency. Simplified example matrix; real organizations define their own.</t>
  </si>
  <si>
    <t xml:space="preserve">Impact \ Urgency</t>
  </si>
  <si>
    <t xml:space="preserve">Definitions</t>
  </si>
  <si>
    <t xml:space="preserve">High: critical business service unavailable or several users affected.</t>
  </si>
  <si>
    <t xml:space="preserve">Medium: one user or limited group significantly affected; workaround may exist.</t>
  </si>
  <si>
    <t xml:space="preserve">Low: minor issue with little business impact.</t>
  </si>
  <si>
    <t xml:space="preserve">Ticket Summary</t>
  </si>
  <si>
    <t xml:space="preserve">By Status</t>
  </si>
  <si>
    <t xml:space="preserve">New</t>
  </si>
  <si>
    <t xml:space="preserve">Closed</t>
  </si>
  <si>
    <t xml:space="preserve">Total tickets</t>
  </si>
  <si>
    <t xml:space="preserve">By Priority</t>
  </si>
  <si>
    <t xml:space="preserve">By Category</t>
  </si>
  <si>
    <t xml:space="preserve">Other</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</si>
</sst>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3"/>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38"/>
    <col collapsed="false" customWidth="true" hidden="false" outlineLevel="0" max="4" min="4" style="0" width="18"/>
    <col collapsed="false" customWidth="true" hidden="false" outlineLevel="0" max="7" min="5" style="0" width="10"/>
    <col collapsed="false" customWidth="true" hidden="false" outlineLevel="0" max="8" min="8" style="0" width="60"/>
    <col collapsed="false" customWidth="true" hidden="false" outlineLevel="0" max="9" min="9" style="0" width="15"/>
    <col collapsed="false" customWidth="true" hidden="false" outlineLevel="0" max="10" min="10" style="0" width="5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row>
    <row r="4" customFormat="false" ht="27.75" hidden="false" customHeight="true" outlineLevel="0" collapsed="false">
      <c r="A4" s="3" t="s">
        <v>2</v>
      </c>
      <c r="B4" s="3" t="s">
        <v>3</v>
      </c>
      <c r="C4" s="3" t="s">
        <v>4</v>
      </c>
      <c r="D4" s="3" t="s">
        <v>5</v>
      </c>
      <c r="E4" s="3" t="s">
        <v>6</v>
      </c>
      <c r="F4" s="3" t="s">
        <v>7</v>
      </c>
      <c r="G4" s="3" t="s">
        <v>8</v>
      </c>
      <c r="H4" s="3" t="s">
        <v>9</v>
      </c>
      <c r="I4" s="3" t="s">
        <v>10</v>
      </c>
      <c r="J4" s="3" t="s">
        <v>11</v>
      </c>
    </row>
    <row r="5" customFormat="false" ht="35.05" hidden="false" customHeight="false" outlineLevel="0" collapsed="false">
      <c r="A5" s="4" t="s">
        <v>12</v>
      </c>
      <c r="B5" s="5" t="s">
        <v>13</v>
      </c>
      <c r="C5" s="5" t="s">
        <v>14</v>
      </c>
      <c r="D5" s="5" t="s">
        <v>15</v>
      </c>
      <c r="E5" s="5" t="s">
        <v>16</v>
      </c>
      <c r="F5" s="5" t="s">
        <v>17</v>
      </c>
      <c r="G5" s="6" t="str">
        <f aca="false">IFERROR(INDEX('Priority Matrix'!$B$5:$D$7,MATCH(E5,'Priority Matrix'!$A$5:$A$7,0),MATCH(F5,'Priority Matrix'!$B$4:$D$4,0)),"")</f>
        <v>Low</v>
      </c>
      <c r="H5" s="5" t="s">
        <v>18</v>
      </c>
      <c r="I5" s="5" t="s">
        <v>19</v>
      </c>
      <c r="J5" s="5" t="s">
        <v>20</v>
      </c>
    </row>
    <row r="6" customFormat="false" ht="23.85" hidden="false" customHeight="false" outlineLevel="0" collapsed="false">
      <c r="A6" s="4" t="s">
        <v>21</v>
      </c>
      <c r="B6" s="5" t="s">
        <v>13</v>
      </c>
      <c r="C6" s="5" t="s">
        <v>22</v>
      </c>
      <c r="D6" s="5" t="s">
        <v>23</v>
      </c>
      <c r="E6" s="5" t="s">
        <v>16</v>
      </c>
      <c r="F6" s="5" t="s">
        <v>24</v>
      </c>
      <c r="G6" s="6" t="str">
        <f aca="false">IFERROR(INDEX('Priority Matrix'!$B$5:$D$7,MATCH(E6,'Priority Matrix'!$A$5:$A$7,0),MATCH(F6,'Priority Matrix'!$B$4:$D$4,0)),"")</f>
        <v>Medium</v>
      </c>
      <c r="H6" s="5" t="s">
        <v>25</v>
      </c>
      <c r="I6" s="5" t="s">
        <v>26</v>
      </c>
      <c r="J6" s="5" t="s">
        <v>27</v>
      </c>
    </row>
    <row r="7" customFormat="false" ht="23.85" hidden="false" customHeight="false" outlineLevel="0" collapsed="false">
      <c r="A7" s="4" t="s">
        <v>28</v>
      </c>
      <c r="B7" s="5" t="s">
        <v>29</v>
      </c>
      <c r="C7" s="5" t="s">
        <v>30</v>
      </c>
      <c r="D7" s="5" t="s">
        <v>31</v>
      </c>
      <c r="E7" s="5" t="s">
        <v>24</v>
      </c>
      <c r="F7" s="5" t="s">
        <v>24</v>
      </c>
      <c r="G7" s="6" t="str">
        <f aca="false">IFERROR(INDEX('Priority Matrix'!$B$5:$D$7,MATCH(E7,'Priority Matrix'!$A$5:$A$7,0),MATCH(F7,'Priority Matrix'!$B$4:$D$4,0)),"")</f>
        <v>High</v>
      </c>
      <c r="H7" s="5" t="s">
        <v>32</v>
      </c>
      <c r="I7" s="5" t="s">
        <v>33</v>
      </c>
      <c r="J7" s="5" t="s">
        <v>34</v>
      </c>
    </row>
    <row r="8" customFormat="false" ht="35.05" hidden="false" customHeight="false" outlineLevel="0" collapsed="false">
      <c r="A8" s="4" t="s">
        <v>35</v>
      </c>
      <c r="B8" s="5" t="s">
        <v>29</v>
      </c>
      <c r="C8" s="5" t="s">
        <v>36</v>
      </c>
      <c r="D8" s="5" t="s">
        <v>31</v>
      </c>
      <c r="E8" s="5" t="s">
        <v>16</v>
      </c>
      <c r="F8" s="5" t="s">
        <v>17</v>
      </c>
      <c r="G8" s="6" t="str">
        <f aca="false">IFERROR(INDEX('Priority Matrix'!$B$5:$D$7,MATCH(E8,'Priority Matrix'!$A$5:$A$7,0),MATCH(F8,'Priority Matrix'!$B$4:$D$4,0)),"")</f>
        <v>Low</v>
      </c>
      <c r="H8" s="5" t="s">
        <v>37</v>
      </c>
      <c r="I8" s="5" t="s">
        <v>19</v>
      </c>
      <c r="J8" s="5" t="s">
        <v>38</v>
      </c>
    </row>
    <row r="9" customFormat="false" ht="23.85" hidden="false" customHeight="false" outlineLevel="0" collapsed="false">
      <c r="A9" s="4" t="s">
        <v>39</v>
      </c>
      <c r="B9" s="5" t="s">
        <v>40</v>
      </c>
      <c r="C9" s="5" t="s">
        <v>41</v>
      </c>
      <c r="D9" s="5" t="s">
        <v>31</v>
      </c>
      <c r="E9" s="5" t="s">
        <v>16</v>
      </c>
      <c r="F9" s="5" t="s">
        <v>17</v>
      </c>
      <c r="G9" s="6" t="str">
        <f aca="false">IFERROR(INDEX('Priority Matrix'!$B$5:$D$7,MATCH(E9,'Priority Matrix'!$A$5:$A$7,0),MATCH(F9,'Priority Matrix'!$B$4:$D$4,0)),"")</f>
        <v>Low</v>
      </c>
      <c r="H9" s="5" t="s">
        <v>42</v>
      </c>
      <c r="I9" s="5" t="s">
        <v>19</v>
      </c>
      <c r="J9" s="5" t="s">
        <v>43</v>
      </c>
    </row>
    <row r="10" customFormat="false" ht="23.85" hidden="false" customHeight="false" outlineLevel="0" collapsed="false">
      <c r="A10" s="4" t="s">
        <v>44</v>
      </c>
      <c r="B10" s="5" t="s">
        <v>40</v>
      </c>
      <c r="C10" s="5" t="s">
        <v>45</v>
      </c>
      <c r="D10" s="5" t="s">
        <v>46</v>
      </c>
      <c r="E10" s="5" t="s">
        <v>16</v>
      </c>
      <c r="F10" s="5" t="s">
        <v>24</v>
      </c>
      <c r="G10" s="6" t="str">
        <f aca="false">IFERROR(INDEX('Priority Matrix'!$B$5:$D$7,MATCH(E10,'Priority Matrix'!$A$5:$A$7,0),MATCH(F10,'Priority Matrix'!$B$4:$D$4,0)),"")</f>
        <v>Medium</v>
      </c>
      <c r="H10" s="5" t="s">
        <v>47</v>
      </c>
      <c r="I10" s="5" t="s">
        <v>33</v>
      </c>
      <c r="J10" s="5" t="s">
        <v>48</v>
      </c>
    </row>
    <row r="11" customFormat="false" ht="23.85" hidden="false" customHeight="false" outlineLevel="0" collapsed="false">
      <c r="A11" s="4" t="s">
        <v>49</v>
      </c>
      <c r="B11" s="5" t="s">
        <v>50</v>
      </c>
      <c r="C11" s="5" t="s">
        <v>51</v>
      </c>
      <c r="D11" s="5" t="s">
        <v>23</v>
      </c>
      <c r="E11" s="5" t="s">
        <v>16</v>
      </c>
      <c r="F11" s="5" t="s">
        <v>17</v>
      </c>
      <c r="G11" s="6" t="str">
        <f aca="false">IFERROR(INDEX('Priority Matrix'!$B$5:$D$7,MATCH(E11,'Priority Matrix'!$A$5:$A$7,0),MATCH(F11,'Priority Matrix'!$B$4:$D$4,0)),"")</f>
        <v>Low</v>
      </c>
      <c r="H11" s="5" t="s">
        <v>52</v>
      </c>
      <c r="I11" s="5" t="s">
        <v>33</v>
      </c>
      <c r="J11" s="5" t="s">
        <v>53</v>
      </c>
    </row>
    <row r="12" customFormat="false" ht="23.85" hidden="false" customHeight="false" outlineLevel="0" collapsed="false">
      <c r="A12" s="4" t="s">
        <v>54</v>
      </c>
      <c r="B12" s="5" t="s">
        <v>50</v>
      </c>
      <c r="C12" s="5" t="s">
        <v>55</v>
      </c>
      <c r="D12" s="5" t="s">
        <v>56</v>
      </c>
      <c r="E12" s="5" t="s">
        <v>16</v>
      </c>
      <c r="F12" s="5" t="s">
        <v>16</v>
      </c>
      <c r="G12" s="6" t="str">
        <f aca="false">IFERROR(INDEX('Priority Matrix'!$B$5:$D$7,MATCH(E12,'Priority Matrix'!$A$5:$A$7,0),MATCH(F12,'Priority Matrix'!$B$4:$D$4,0)),"")</f>
        <v>Low</v>
      </c>
      <c r="H12" s="5" t="s">
        <v>57</v>
      </c>
      <c r="I12" s="5" t="s">
        <v>19</v>
      </c>
      <c r="J12" s="5" t="s">
        <v>58</v>
      </c>
    </row>
    <row r="13" customFormat="false" ht="23.85" hidden="false" customHeight="false" outlineLevel="0" collapsed="false">
      <c r="A13" s="4" t="s">
        <v>59</v>
      </c>
      <c r="B13" s="5" t="s">
        <v>60</v>
      </c>
      <c r="C13" s="5" t="s">
        <v>61</v>
      </c>
      <c r="D13" s="5" t="s">
        <v>23</v>
      </c>
      <c r="E13" s="5" t="s">
        <v>24</v>
      </c>
      <c r="F13" s="5" t="s">
        <v>24</v>
      </c>
      <c r="G13" s="6" t="str">
        <f aca="false">IFERROR(INDEX('Priority Matrix'!$B$5:$D$7,MATCH(E13,'Priority Matrix'!$A$5:$A$7,0),MATCH(F13,'Priority Matrix'!$B$4:$D$4,0)),"")</f>
        <v>High</v>
      </c>
      <c r="H13" s="5" t="s">
        <v>62</v>
      </c>
      <c r="I13" s="5" t="s">
        <v>33</v>
      </c>
      <c r="J13" s="5" t="s">
        <v>63</v>
      </c>
    </row>
    <row r="14" customFormat="false" ht="23.85" hidden="false" customHeight="false" outlineLevel="0" collapsed="false">
      <c r="A14" s="4" t="s">
        <v>64</v>
      </c>
      <c r="B14" s="5" t="s">
        <v>60</v>
      </c>
      <c r="C14" s="5" t="s">
        <v>65</v>
      </c>
      <c r="D14" s="5" t="s">
        <v>15</v>
      </c>
      <c r="E14" s="5" t="s">
        <v>17</v>
      </c>
      <c r="F14" s="5" t="s">
        <v>17</v>
      </c>
      <c r="G14" s="6" t="str">
        <f aca="false">IFERROR(INDEX('Priority Matrix'!$B$5:$D$7,MATCH(E14,'Priority Matrix'!$A$5:$A$7,0),MATCH(F14,'Priority Matrix'!$B$4:$D$4,0)),"")</f>
        <v>Medium</v>
      </c>
      <c r="H14" s="5" t="s">
        <v>66</v>
      </c>
      <c r="I14" s="5" t="s">
        <v>26</v>
      </c>
      <c r="J14" s="5" t="s">
        <v>67</v>
      </c>
    </row>
    <row r="15" customFormat="false" ht="15" hidden="false" customHeight="false" outlineLevel="0" collapsed="false">
      <c r="A15" s="4" t="s">
        <v>68</v>
      </c>
      <c r="B15" s="5"/>
      <c r="C15" s="5"/>
      <c r="D15" s="5"/>
      <c r="E15" s="5"/>
      <c r="F15" s="5"/>
      <c r="G15" s="6" t="str">
        <f aca="false">IFERROR(INDEX('Priority Matrix'!$B$5:$D$7,MATCH(E15,'Priority Matrix'!$A$5:$A$7,0),MATCH(F15,'Priority Matrix'!$B$4:$D$4,0)),"")</f>
        <v/>
      </c>
      <c r="H15" s="5"/>
      <c r="I15" s="5"/>
      <c r="J15" s="5"/>
    </row>
    <row r="16" customFormat="false" ht="15" hidden="false" customHeight="false" outlineLevel="0" collapsed="false">
      <c r="A16" s="4" t="s">
        <v>69</v>
      </c>
      <c r="B16" s="5"/>
      <c r="C16" s="5"/>
      <c r="D16" s="5"/>
      <c r="E16" s="5"/>
      <c r="F16" s="5"/>
      <c r="G16" s="6" t="str">
        <f aca="false">IFERROR(INDEX('Priority Matrix'!$B$5:$D$7,MATCH(E16,'Priority Matrix'!$A$5:$A$7,0),MATCH(F16,'Priority Matrix'!$B$4:$D$4,0)),"")</f>
        <v/>
      </c>
      <c r="H16" s="5"/>
      <c r="I16" s="5"/>
      <c r="J16" s="5"/>
    </row>
    <row r="17" customFormat="false" ht="15" hidden="false" customHeight="false" outlineLevel="0" collapsed="false">
      <c r="A17" s="4" t="s">
        <v>70</v>
      </c>
      <c r="B17" s="5"/>
      <c r="C17" s="5"/>
      <c r="D17" s="5"/>
      <c r="E17" s="5"/>
      <c r="F17" s="5"/>
      <c r="G17" s="6" t="str">
        <f aca="false">IFERROR(INDEX('Priority Matrix'!$B$5:$D$7,MATCH(E17,'Priority Matrix'!$A$5:$A$7,0),MATCH(F17,'Priority Matrix'!$B$4:$D$4,0)),"")</f>
        <v/>
      </c>
      <c r="H17" s="5"/>
      <c r="I17" s="5"/>
      <c r="J17" s="5"/>
    </row>
    <row r="18" customFormat="false" ht="15" hidden="false" customHeight="false" outlineLevel="0" collapsed="false">
      <c r="A18" s="4" t="s">
        <v>71</v>
      </c>
      <c r="B18" s="5"/>
      <c r="C18" s="5"/>
      <c r="D18" s="5"/>
      <c r="E18" s="5"/>
      <c r="F18" s="5"/>
      <c r="G18" s="6" t="str">
        <f aca="false">IFERROR(INDEX('Priority Matrix'!$B$5:$D$7,MATCH(E18,'Priority Matrix'!$A$5:$A$7,0),MATCH(F18,'Priority Matrix'!$B$4:$D$4,0)),"")</f>
        <v/>
      </c>
      <c r="H18" s="5"/>
      <c r="I18" s="5"/>
      <c r="J18" s="5"/>
    </row>
    <row r="19" customFormat="false" ht="15" hidden="false" customHeight="false" outlineLevel="0" collapsed="false">
      <c r="A19" s="4" t="s">
        <v>72</v>
      </c>
      <c r="B19" s="5"/>
      <c r="C19" s="5"/>
      <c r="D19" s="5"/>
      <c r="E19" s="5"/>
      <c r="F19" s="5"/>
      <c r="G19" s="6" t="str">
        <f aca="false">IFERROR(INDEX('Priority Matrix'!$B$5:$D$7,MATCH(E19,'Priority Matrix'!$A$5:$A$7,0),MATCH(F19,'Priority Matrix'!$B$4:$D$4,0)),"")</f>
        <v/>
      </c>
      <c r="H19" s="5"/>
      <c r="I19" s="5"/>
      <c r="J19" s="5"/>
    </row>
    <row r="20" customFormat="false" ht="15" hidden="false" customHeight="false" outlineLevel="0" collapsed="false">
      <c r="A20" s="4" t="s">
        <v>73</v>
      </c>
      <c r="B20" s="5"/>
      <c r="C20" s="5"/>
      <c r="D20" s="5"/>
      <c r="E20" s="5"/>
      <c r="F20" s="5"/>
      <c r="G20" s="6" t="str">
        <f aca="false">IFERROR(INDEX('Priority Matrix'!$B$5:$D$7,MATCH(E20,'Priority Matrix'!$A$5:$A$7,0),MATCH(F20,'Priority Matrix'!$B$4:$D$4,0)),"")</f>
        <v/>
      </c>
      <c r="H20" s="5"/>
      <c r="I20" s="5"/>
      <c r="J20" s="5"/>
    </row>
    <row r="21" customFormat="false" ht="15" hidden="false" customHeight="false" outlineLevel="0" collapsed="false">
      <c r="A21" s="4" t="s">
        <v>74</v>
      </c>
      <c r="B21" s="5"/>
      <c r="C21" s="5"/>
      <c r="D21" s="5"/>
      <c r="E21" s="5"/>
      <c r="F21" s="5"/>
      <c r="G21" s="6" t="str">
        <f aca="false">IFERROR(INDEX('Priority Matrix'!$B$5:$D$7,MATCH(E21,'Priority Matrix'!$A$5:$A$7,0),MATCH(F21,'Priority Matrix'!$B$4:$D$4,0)),"")</f>
        <v/>
      </c>
      <c r="H21" s="5"/>
      <c r="I21" s="5"/>
      <c r="J21" s="5"/>
    </row>
    <row r="22" customFormat="false" ht="15" hidden="false" customHeight="false" outlineLevel="0" collapsed="false">
      <c r="A22" s="4" t="s">
        <v>75</v>
      </c>
      <c r="B22" s="5"/>
      <c r="C22" s="5"/>
      <c r="D22" s="5"/>
      <c r="E22" s="5"/>
      <c r="F22" s="5"/>
      <c r="G22" s="6" t="str">
        <f aca="false">IFERROR(INDEX('Priority Matrix'!$B$5:$D$7,MATCH(E22,'Priority Matrix'!$A$5:$A$7,0),MATCH(F22,'Priority Matrix'!$B$4:$D$4,0)),"")</f>
        <v/>
      </c>
      <c r="H22" s="5"/>
      <c r="I22" s="5"/>
      <c r="J22" s="5"/>
    </row>
    <row r="23" customFormat="false" ht="15" hidden="false" customHeight="false" outlineLevel="0" collapsed="false">
      <c r="A23" s="4" t="s">
        <v>76</v>
      </c>
      <c r="B23" s="5"/>
      <c r="C23" s="5"/>
      <c r="D23" s="5"/>
      <c r="E23" s="5"/>
      <c r="F23" s="5"/>
      <c r="G23" s="6" t="str">
        <f aca="false">IFERROR(INDEX('Priority Matrix'!$B$5:$D$7,MATCH(E23,'Priority Matrix'!$A$5:$A$7,0),MATCH(F23,'Priority Matrix'!$B$4:$D$4,0)),"")</f>
        <v/>
      </c>
      <c r="H23" s="5"/>
      <c r="I23" s="5"/>
      <c r="J23" s="5"/>
    </row>
    <row r="24" customFormat="false" ht="15" hidden="false" customHeight="false" outlineLevel="0" collapsed="false">
      <c r="A24" s="4" t="s">
        <v>77</v>
      </c>
      <c r="B24" s="5"/>
      <c r="C24" s="5"/>
      <c r="D24" s="5"/>
      <c r="E24" s="5"/>
      <c r="F24" s="5"/>
      <c r="G24" s="6" t="str">
        <f aca="false">IFERROR(INDEX('Priority Matrix'!$B$5:$D$7,MATCH(E24,'Priority Matrix'!$A$5:$A$7,0),MATCH(F24,'Priority Matrix'!$B$4:$D$4,0)),"")</f>
        <v/>
      </c>
      <c r="H24" s="5"/>
      <c r="I24" s="5"/>
      <c r="J24" s="5"/>
    </row>
  </sheetData>
  <autoFilter ref="A4:J24"/>
  <mergeCells count="1">
    <mergeCell ref="A2:J2"/>
  </mergeCells>
  <dataValidations count="3">
    <dataValidation allowBlank="true" errorStyle="stop" operator="between" showDropDown="false" showErrorMessage="false" showInputMessage="false" sqref="E5:F24" type="list">
      <formula1>"High,Medium,Low"</formula1>
      <formula2>0</formula2>
    </dataValidation>
    <dataValidation allowBlank="true" errorStyle="stop" operator="between" showDropDown="false" showErrorMessage="false" showInputMessage="false" sqref="I5:I24" type="list">
      <formula1>"New,Investigating,Resolved,Escalated,Closed"</formula1>
      <formula2>0</formula2>
    </dataValidation>
    <dataValidation allowBlank="true" errorStyle="stop" operator="between" showDropDown="false" showErrorMessage="false" showInputMessage="false" sqref="D5:D24" type="list">
      <formula1>"Windows,Network,Application,Account Access,Hardware / Peripheral,Other"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4"/>
  </cols>
  <sheetData>
    <row r="1" customFormat="false" ht="16.15" hidden="false" customHeight="false" outlineLevel="0" collapsed="false">
      <c r="A1" s="7" t="s">
        <v>78</v>
      </c>
    </row>
    <row r="2" customFormat="false" ht="15" hidden="false" customHeight="false" outlineLevel="0" collapsed="false">
      <c r="A2" s="8" t="s">
        <v>79</v>
      </c>
    </row>
    <row r="4" customFormat="false" ht="15" hidden="false" customHeight="false" outlineLevel="0" collapsed="false">
      <c r="A4" s="9" t="s">
        <v>80</v>
      </c>
      <c r="B4" s="9" t="s">
        <v>24</v>
      </c>
      <c r="C4" s="9" t="s">
        <v>17</v>
      </c>
      <c r="D4" s="9" t="s">
        <v>16</v>
      </c>
    </row>
    <row r="5" customFormat="false" ht="15" hidden="false" customHeight="false" outlineLevel="0" collapsed="false">
      <c r="A5" s="9" t="s">
        <v>24</v>
      </c>
      <c r="B5" s="10" t="s">
        <v>24</v>
      </c>
      <c r="C5" s="10" t="s">
        <v>24</v>
      </c>
      <c r="D5" s="10" t="s">
        <v>17</v>
      </c>
    </row>
    <row r="6" customFormat="false" ht="15" hidden="false" customHeight="false" outlineLevel="0" collapsed="false">
      <c r="A6" s="9" t="s">
        <v>17</v>
      </c>
      <c r="B6" s="10" t="s">
        <v>24</v>
      </c>
      <c r="C6" s="10" t="s">
        <v>17</v>
      </c>
      <c r="D6" s="10" t="s">
        <v>16</v>
      </c>
    </row>
    <row r="7" customFormat="false" ht="15" hidden="false" customHeight="false" outlineLevel="0" collapsed="false">
      <c r="A7" s="9" t="s">
        <v>16</v>
      </c>
      <c r="B7" s="10" t="s">
        <v>17</v>
      </c>
      <c r="C7" s="10" t="s">
        <v>16</v>
      </c>
      <c r="D7" s="10" t="s">
        <v>16</v>
      </c>
    </row>
    <row r="9" customFormat="false" ht="15" hidden="false" customHeight="false" outlineLevel="0" collapsed="false">
      <c r="A9" s="11" t="s">
        <v>81</v>
      </c>
    </row>
    <row r="10" customFormat="false" ht="15" hidden="false" customHeight="false" outlineLevel="0" collapsed="false">
      <c r="A10" s="12" t="s">
        <v>82</v>
      </c>
    </row>
    <row r="11" customFormat="false" ht="15" hidden="false" customHeight="false" outlineLevel="0" collapsed="false">
      <c r="A11" s="12" t="s">
        <v>83</v>
      </c>
    </row>
    <row r="12" customFormat="false" ht="15" hidden="false" customHeight="false" outlineLevel="0" collapsed="false">
      <c r="A12" s="12"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s>
  <sheetData>
    <row r="1" customFormat="false" ht="17.35" hidden="false" customHeight="false" outlineLevel="0" collapsed="false">
      <c r="A1" s="1" t="s">
        <v>85</v>
      </c>
    </row>
    <row r="3" customFormat="false" ht="15" hidden="false" customHeight="false" outlineLevel="0" collapsed="false">
      <c r="A3" s="13" t="s">
        <v>86</v>
      </c>
    </row>
    <row r="4" customFormat="false" ht="15" hidden="false" customHeight="false" outlineLevel="0" collapsed="false">
      <c r="A4" s="12" t="s">
        <v>87</v>
      </c>
      <c r="B4" s="12" t="n">
        <f aca="false">COUNTIF('Ticket Register'!$I$5:$I$24,A4)</f>
        <v>0</v>
      </c>
    </row>
    <row r="5" customFormat="false" ht="15" hidden="false" customHeight="false" outlineLevel="0" collapsed="false">
      <c r="A5" s="12" t="s">
        <v>26</v>
      </c>
      <c r="B5" s="12" t="n">
        <f aca="false">COUNTIF('Ticket Register'!$I$5:$I$24,A5)</f>
        <v>2</v>
      </c>
    </row>
    <row r="6" customFormat="false" ht="15" hidden="false" customHeight="false" outlineLevel="0" collapsed="false">
      <c r="A6" s="12" t="s">
        <v>19</v>
      </c>
      <c r="B6" s="12" t="n">
        <f aca="false">COUNTIF('Ticket Register'!$I$5:$I$24,A6)</f>
        <v>4</v>
      </c>
    </row>
    <row r="7" customFormat="false" ht="15" hidden="false" customHeight="false" outlineLevel="0" collapsed="false">
      <c r="A7" s="12" t="s">
        <v>33</v>
      </c>
      <c r="B7" s="12" t="n">
        <f aca="false">COUNTIF('Ticket Register'!$I$5:$I$24,A7)</f>
        <v>4</v>
      </c>
    </row>
    <row r="8" customFormat="false" ht="15" hidden="false" customHeight="false" outlineLevel="0" collapsed="false">
      <c r="A8" s="12" t="s">
        <v>88</v>
      </c>
      <c r="B8" s="12" t="n">
        <f aca="false">COUNTIF('Ticket Register'!$I$5:$I$24,A8)</f>
        <v>0</v>
      </c>
    </row>
    <row r="10" customFormat="false" ht="15" hidden="false" customHeight="false" outlineLevel="0" collapsed="false">
      <c r="A10" s="11" t="s">
        <v>89</v>
      </c>
      <c r="B10" s="11" t="n">
        <f aca="false">COUNTA('Ticket Register'!$C$5:$C$24)</f>
        <v>10</v>
      </c>
    </row>
    <row r="12" customFormat="false" ht="15" hidden="false" customHeight="false" outlineLevel="0" collapsed="false">
      <c r="A12" s="13" t="s">
        <v>90</v>
      </c>
    </row>
    <row r="13" customFormat="false" ht="15" hidden="false" customHeight="false" outlineLevel="0" collapsed="false">
      <c r="A13" s="12" t="s">
        <v>24</v>
      </c>
      <c r="B13" s="12" t="n">
        <f aca="false">COUNTIF('Ticket Register'!$G$5:$G$24,A13)</f>
        <v>2</v>
      </c>
    </row>
    <row r="14" customFormat="false" ht="15" hidden="false" customHeight="false" outlineLevel="0" collapsed="false">
      <c r="A14" s="12" t="s">
        <v>17</v>
      </c>
      <c r="B14" s="12" t="n">
        <f aca="false">COUNTIF('Ticket Register'!$G$5:$G$24,A14)</f>
        <v>3</v>
      </c>
    </row>
    <row r="15" customFormat="false" ht="15" hidden="false" customHeight="false" outlineLevel="0" collapsed="false">
      <c r="A15" s="12" t="s">
        <v>16</v>
      </c>
      <c r="B15" s="12" t="n">
        <f aca="false">COUNTIF('Ticket Register'!$G$5:$G$24,A15)</f>
        <v>5</v>
      </c>
    </row>
    <row r="17" customFormat="false" ht="15" hidden="false" customHeight="false" outlineLevel="0" collapsed="false">
      <c r="A17" s="13" t="s">
        <v>91</v>
      </c>
    </row>
    <row r="18" customFormat="false" ht="15" hidden="false" customHeight="false" outlineLevel="0" collapsed="false">
      <c r="A18" s="12" t="s">
        <v>15</v>
      </c>
      <c r="B18" s="12" t="n">
        <f aca="false">COUNTIF('Ticket Register'!$D$5:$D$24,A18)</f>
        <v>2</v>
      </c>
    </row>
    <row r="19" customFormat="false" ht="15" hidden="false" customHeight="false" outlineLevel="0" collapsed="false">
      <c r="A19" s="12" t="s">
        <v>23</v>
      </c>
      <c r="B19" s="12" t="n">
        <f aca="false">COUNTIF('Ticket Register'!$D$5:$D$24,A19)</f>
        <v>3</v>
      </c>
    </row>
    <row r="20" customFormat="false" ht="15" hidden="false" customHeight="false" outlineLevel="0" collapsed="false">
      <c r="A20" s="12" t="s">
        <v>31</v>
      </c>
      <c r="B20" s="12" t="n">
        <f aca="false">COUNTIF('Ticket Register'!$D$5:$D$24,A20)</f>
        <v>3</v>
      </c>
    </row>
    <row r="21" customFormat="false" ht="15" hidden="false" customHeight="false" outlineLevel="0" collapsed="false">
      <c r="A21" s="12" t="s">
        <v>46</v>
      </c>
      <c r="B21" s="12" t="n">
        <f aca="false">COUNTIF('Ticket Register'!$D$5:$D$24,A21)</f>
        <v>1</v>
      </c>
    </row>
    <row r="22" customFormat="false" ht="15" hidden="false" customHeight="false" outlineLevel="0" collapsed="false">
      <c r="A22" s="12" t="s">
        <v>56</v>
      </c>
      <c r="B22" s="12" t="n">
        <f aca="false">COUNTIF('Ticket Register'!$D$5:$D$24,A22)</f>
        <v>1</v>
      </c>
    </row>
    <row r="23" customFormat="false" ht="15" hidden="false" customHeight="false" outlineLevel="0" collapsed="false">
      <c r="A23" s="12" t="s">
        <v>92</v>
      </c>
      <c r="B23" s="12" t="n">
        <f aca="false">COUNTIF('Ticket Register'!$D$5:$D$24,A23)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2026-10-19T19:00:43Z</dcterms:created>
  <dc:creator>openpyxl</dc:creator>
  <dc:description/>
  <dc:language>en-US</dc:language>
  <cp:lastModifiedBy/>
  <dcterms:modified xsi:type="dcterms:W3CDTF">2026-10-19T19:00:43Z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